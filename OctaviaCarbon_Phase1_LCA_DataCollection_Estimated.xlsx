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4AB1769-8EE6-4F99-BD02-465592229C70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Instructions" sheetId="1" r:id="rId1"/>
    <sheet name="Parameters" sheetId="2" r:id="rId2"/>
    <sheet name="Zone1_Capture" sheetId="3" r:id="rId3"/>
    <sheet name="Zone2_Processing" sheetId="4" r:id="rId4"/>
    <sheet name="Zone3_Liquefaction" sheetId="5" r:id="rId5"/>
    <sheet name="Sorbent_System" sheetId="6" r:id="rId6"/>
    <sheet name="Transport" sheetId="7" r:id="rId7"/>
    <sheet name="Summary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8" l="1"/>
  <c r="B23" i="8"/>
  <c r="B22" i="8"/>
  <c r="C15" i="8"/>
  <c r="D15" i="8" s="1"/>
  <c r="D10" i="8"/>
  <c r="D9" i="8"/>
  <c r="D8" i="8"/>
  <c r="D7" i="8"/>
  <c r="E11" i="7"/>
  <c r="E10" i="7"/>
  <c r="G10" i="7" s="1"/>
  <c r="E9" i="7"/>
  <c r="G9" i="7" s="1"/>
  <c r="E6" i="7"/>
  <c r="G6" i="7" s="1"/>
  <c r="E17" i="6"/>
  <c r="D13" i="6"/>
  <c r="C13" i="6"/>
  <c r="G13" i="6" s="1"/>
  <c r="D12" i="6"/>
  <c r="C12" i="6"/>
  <c r="G12" i="6" s="1"/>
  <c r="E11" i="6"/>
  <c r="D11" i="6"/>
  <c r="C11" i="6"/>
  <c r="G11" i="6" s="1"/>
  <c r="G8" i="6"/>
  <c r="E8" i="6"/>
  <c r="E13" i="6" s="1"/>
  <c r="G7" i="6"/>
  <c r="E7" i="6"/>
  <c r="E12" i="6" s="1"/>
  <c r="G6" i="6"/>
  <c r="E6" i="6"/>
  <c r="E18" i="5"/>
  <c r="G16" i="5"/>
  <c r="G15" i="5"/>
  <c r="G14" i="5"/>
  <c r="G13" i="5"/>
  <c r="G12" i="5"/>
  <c r="G11" i="5"/>
  <c r="G10" i="5"/>
  <c r="G6" i="5"/>
  <c r="G16" i="4"/>
  <c r="G15" i="4"/>
  <c r="G14" i="4"/>
  <c r="G13" i="4"/>
  <c r="G12" i="4"/>
  <c r="G11" i="4"/>
  <c r="E18" i="4"/>
  <c r="G7" i="4"/>
  <c r="G6" i="4"/>
  <c r="G23" i="3"/>
  <c r="G22" i="3"/>
  <c r="G21" i="3"/>
  <c r="G20" i="3"/>
  <c r="G19" i="3"/>
  <c r="G18" i="3"/>
  <c r="G17" i="3"/>
  <c r="G14" i="3"/>
  <c r="G13" i="3"/>
  <c r="E10" i="3"/>
  <c r="E25" i="3" s="1"/>
  <c r="G8" i="3"/>
  <c r="G6" i="3"/>
  <c r="B8" i="2"/>
  <c r="E13" i="7" l="1"/>
  <c r="G11" i="7"/>
  <c r="G13" i="7" s="1"/>
  <c r="B10" i="8" s="1"/>
  <c r="E10" i="8" s="1"/>
  <c r="G16" i="6"/>
  <c r="B14" i="8" s="1"/>
  <c r="E15" i="8" s="1"/>
  <c r="B26" i="8" s="1"/>
  <c r="G18" i="5"/>
  <c r="B9" i="8" s="1"/>
  <c r="E9" i="8" s="1"/>
  <c r="G18" i="4"/>
  <c r="B8" i="8" s="1"/>
  <c r="E8" i="8" s="1"/>
  <c r="G25" i="3"/>
  <c r="B7" i="8" s="1"/>
  <c r="G10" i="3"/>
  <c r="G18" i="6" l="1"/>
  <c r="B11" i="8"/>
  <c r="E7" i="8"/>
  <c r="E11" i="8" s="1"/>
  <c r="E17" i="8" l="1"/>
  <c r="B27" i="8" s="1"/>
  <c r="B25" i="8"/>
</calcChain>
</file>

<file path=xl/sharedStrings.xml><?xml version="1.0" encoding="utf-8"?>
<sst xmlns="http://schemas.openxmlformats.org/spreadsheetml/2006/main" count="333" uniqueCount="218">
  <si>
    <t>OCTAVIA CARBON - PHASE 1 LCA DATA COLLECTION</t>
  </si>
  <si>
    <t>Project Hummingbird Capture Site (100 tCO₂/year)</t>
  </si>
  <si>
    <t>PURPOSE</t>
  </si>
  <si>
    <t>This workbook collects material and equipment data to calculate embodied emissions for the Phase 1 pilot plant.</t>
  </si>
  <si>
    <t>The data will be used to populate the Puro LCA template for carbon credit certification.</t>
  </si>
  <si>
    <t>HOW TO USE</t>
  </si>
  <si>
    <t>1. Fill in the YELLOW cells in each sheet with actual quantities from site</t>
  </si>
  <si>
    <t>2. BLUE cells contain formulas - do not edit</t>
  </si>
  <si>
    <t>3. Use the Notes column to document data sources (invoices, spec sheets, measurements)</t>
  </si>
  <si>
    <t>4. If you don't know a value, leave it blank and add a note</t>
  </si>
  <si>
    <t>SHEETS IN THIS WORKBOOK</t>
  </si>
  <si>
    <t>• Parameters - Key project parameters and emission factors</t>
  </si>
  <si>
    <t>• Zone1_Capture - Capture modules container (4 reactors, 352 monoliths)</t>
  </si>
  <si>
    <t>• Zone2_Processing - Tent structure (PHE, separator, vacuum pump, gas balloon)</t>
  </si>
  <si>
    <t>• Zone3_Liquefaction - Liquefaction unit, cryogenic tank, buffer balloon</t>
  </si>
  <si>
    <t>• Sorbent_System - Sorbent materials and replacement schedule</t>
  </si>
  <si>
    <t>• Transport - Shipping and trucking distances</t>
  </si>
  <si>
    <t>• Summary - Automatic calculation of total embodied emissions</t>
  </si>
  <si>
    <t>SYSTEM BOUNDARY</t>
  </si>
  <si>
    <t>INCLUDED: All equipment directly involved in CO₂ capture, processing, and storage</t>
  </si>
  <si>
    <t>EXCLUDED: Office containers, kitchen, amenities (not part of capture process)</t>
  </si>
  <si>
    <t>DATA COLLECTION TIPS</t>
  </si>
  <si>
    <t>• Containers: Standard 20ft ≈ 2,200 kg, 40ft ≈ 3,700 kg (mild steel)</t>
  </si>
  <si>
    <t>• Concrete: Measure L × W × D in meters, density = 2,400 kg/m³</t>
  </si>
  <si>
    <t>• Iron sheets: Measure area in m², standard corrugated ≈ 5-6 kg/m²</t>
  </si>
  <si>
    <t>• Equipment: Check spec sheets or weigh if possible</t>
  </si>
  <si>
    <t>CONTACT</t>
  </si>
  <si>
    <t>For questions about this data collection, contact the LCA team.</t>
  </si>
  <si>
    <t>Version: 1.0 | Date: January 2026 | Plant Lifetime: 10 years</t>
  </si>
  <si>
    <t>PROJECT PARAMETERS</t>
  </si>
  <si>
    <t>Parameter</t>
  </si>
  <si>
    <t>Value</t>
  </si>
  <si>
    <t>Unit</t>
  </si>
  <si>
    <t>Source</t>
  </si>
  <si>
    <t>Notes</t>
  </si>
  <si>
    <t>Plant Name</t>
  </si>
  <si>
    <t>Project Hummingbird Phase 1</t>
  </si>
  <si>
    <t>Location</t>
  </si>
  <si>
    <t>Gilgil, Kenya</t>
  </si>
  <si>
    <t>Target Capacity</t>
  </si>
  <si>
    <t>tCO₂/year</t>
  </si>
  <si>
    <t>Plant Lifetime</t>
  </si>
  <si>
    <t>years</t>
  </si>
  <si>
    <t>Engineering estimate</t>
  </si>
  <si>
    <t>Used for amortization</t>
  </si>
  <si>
    <t>Total Weeks</t>
  </si>
  <si>
    <t>weeks</t>
  </si>
  <si>
    <t>Calculated</t>
  </si>
  <si>
    <t>EMISSION FACTORS (from Puro LCA template)</t>
  </si>
  <si>
    <t>Material/Activity</t>
  </si>
  <si>
    <t>EF Value</t>
  </si>
  <si>
    <t>Grid Electricity (Kenya)</t>
  </si>
  <si>
    <t>kg CO₂/kWh</t>
  </si>
  <si>
    <t>Kenya Power 2024</t>
  </si>
  <si>
    <t>Stainless Steel 304</t>
  </si>
  <si>
    <t>kg CO₂/kg</t>
  </si>
  <si>
    <t>Idemat 2025</t>
  </si>
  <si>
    <t>Mild Steel</t>
  </si>
  <si>
    <t>Idemat 2026</t>
  </si>
  <si>
    <t>Aluminium</t>
  </si>
  <si>
    <t>Concrete</t>
  </si>
  <si>
    <t>Per kg, not per m³</t>
  </si>
  <si>
    <t>Concrete density</t>
  </si>
  <si>
    <t>kg/m³</t>
  </si>
  <si>
    <t>For volume to mass conversion</t>
  </si>
  <si>
    <t>Iron Sheets (galvanized)</t>
  </si>
  <si>
    <t>Using mild steel proxy</t>
  </si>
  <si>
    <t>Alumina (sorbent support)</t>
  </si>
  <si>
    <t>PEI (active sorbent)</t>
  </si>
  <si>
    <t>Climeworks LCA</t>
  </si>
  <si>
    <t>Methanol</t>
  </si>
  <si>
    <t>Sea Shipping</t>
  </si>
  <si>
    <t>kg CO₂/t-km</t>
  </si>
  <si>
    <t>Ecoinvent</t>
  </si>
  <si>
    <t>Road Trucking</t>
  </si>
  <si>
    <t>GHG Protocol</t>
  </si>
  <si>
    <t>Alumina EOL (landfill)</t>
  </si>
  <si>
    <t>EPA WARM</t>
  </si>
  <si>
    <t>PEI EOL (combustion)</t>
  </si>
  <si>
    <t>Methanol EOL (combustion)</t>
  </si>
  <si>
    <t>Metal EOL (landfill)</t>
  </si>
  <si>
    <t>ZONE 1: CAPTURE MODULES (Container Structure)</t>
  </si>
  <si>
    <t>4 Reactors/Modules with 88 monoliths each (352 total)</t>
  </si>
  <si>
    <t>Item</t>
  </si>
  <si>
    <t>Material Type</t>
  </si>
  <si>
    <t>Quantity</t>
  </si>
  <si>
    <t>Weight (kg)</t>
  </si>
  <si>
    <t>EF (kg CO₂/kg)</t>
  </si>
  <si>
    <t>Embodied CO₂ (kg)</t>
  </si>
  <si>
    <t>STRUCTURE</t>
  </si>
  <si>
    <t>Container (housing modules)</t>
  </si>
  <si>
    <t>units</t>
  </si>
  <si>
    <t>Container weight per unit</t>
  </si>
  <si>
    <t>kg/unit</t>
  </si>
  <si>
    <t>Iron sheet roofing</t>
  </si>
  <si>
    <t>m²</t>
  </si>
  <si>
    <t>Iron sheet weight factor</t>
  </si>
  <si>
    <t>kg/m²</t>
  </si>
  <si>
    <t>Concrete foundation</t>
  </si>
  <si>
    <t>m³</t>
  </si>
  <si>
    <t>MONOLITHS &amp; SORBENT BEDS</t>
  </si>
  <si>
    <t>kg total</t>
  </si>
  <si>
    <t>Module frames (4 units)</t>
  </si>
  <si>
    <t>Stainless Steel</t>
  </si>
  <si>
    <t>Sorbent bed structure</t>
  </si>
  <si>
    <t>kg</t>
  </si>
  <si>
    <t>EQUIPMENT</t>
  </si>
  <si>
    <t>Fan NM1</t>
  </si>
  <si>
    <t>Mixed metals</t>
  </si>
  <si>
    <t>Fan NM2</t>
  </si>
  <si>
    <t>Fan NM3</t>
  </si>
  <si>
    <t>Fan NM4</t>
  </si>
  <si>
    <t>Boiler</t>
  </si>
  <si>
    <t>Internal piping</t>
  </si>
  <si>
    <t>Electrical cabinets/wiring</t>
  </si>
  <si>
    <t>Mixed</t>
  </si>
  <si>
    <t>ZONE 1 SUBTOTAL</t>
  </si>
  <si>
    <t>Notes: All values are ESTIMATES based on typical pilot DAC plant. Replace with actual measurements.</t>
  </si>
  <si>
    <t>Container: Assumed 40ft standard shipping container</t>
  </si>
  <si>
    <t>Monoliths: 352 units estimated at ~2kg each ceramic/alumina</t>
  </si>
  <si>
    <t>Fans: 4 units (NM1-4) estimated at 25kg each based on typical industrial fans</t>
  </si>
  <si>
    <t>Boiler: Estimated based on energy consumption data showing 70% of total energy</t>
  </si>
  <si>
    <t>ZONE 2: PROCESSING (Tent Structure)</t>
  </si>
  <si>
    <t>PHE, Separator, Vacuum Pump, Gas Balloon</t>
  </si>
  <si>
    <t>Tent frame</t>
  </si>
  <si>
    <t>PHE (Plate Heat Exchanger)</t>
  </si>
  <si>
    <t>Separator</t>
  </si>
  <si>
    <t>Vacuum Pump (SRV/LRVP)</t>
  </si>
  <si>
    <t>Gas Balloon (collection)</t>
  </si>
  <si>
    <t>Polymer</t>
  </si>
  <si>
    <t>Piping</t>
  </si>
  <si>
    <t>Valves and fittings</t>
  </si>
  <si>
    <t>ZONE 2 SUBTOTAL</t>
  </si>
  <si>
    <t>Notes: All values are ESTIMATES. Replace with actual measurements.</t>
  </si>
  <si>
    <t>Tent structure: Estimated steel frame with iron sheet roofing</t>
  </si>
  <si>
    <t>PHE: Plate Heat Exchanger for cooling system</t>
  </si>
  <si>
    <t>Vacuum Pump: SRV/LRVP from SCADA energy breakdown</t>
  </si>
  <si>
    <t>ZONE 3: LIQUEFACTION</t>
  </si>
  <si>
    <t>Buffer balloon, liquefaction unit, cryogenic tank</t>
  </si>
  <si>
    <t>Iron sheet structure</t>
  </si>
  <si>
    <t>Buffer Gas Balloon</t>
  </si>
  <si>
    <t>Liquefaction/Refrigeration Unit</t>
  </si>
  <si>
    <t>Cryogenic Tank</t>
  </si>
  <si>
    <t>Transfer Pumps</t>
  </si>
  <si>
    <t>Insulation</t>
  </si>
  <si>
    <t>ZONE 3 SUBTOTAL</t>
  </si>
  <si>
    <t>Liquefaction unit: Estimated based on typical small-scale CO2 liquefaction</t>
  </si>
  <si>
    <t>Cryogenic tank: Estimated stainless steel vessel for liquid CO2 storage</t>
  </si>
  <si>
    <t>SORBENT SYSTEM (Consumable - Separate Amortization)</t>
  </si>
  <si>
    <t>Materials that are replaced periodically during plant lifetime</t>
  </si>
  <si>
    <t>Material</t>
  </si>
  <si>
    <t>Qty per Batch (kg)</t>
  </si>
  <si>
    <t>Batch Lifetime (years)</t>
  </si>
  <si>
    <t>Total Batches</t>
  </si>
  <si>
    <t>Embodied CO₂ per Batch (kg)</t>
  </si>
  <si>
    <t>PRODUCTION</t>
  </si>
  <si>
    <t>Support Material (Alumina)</t>
  </si>
  <si>
    <t>Alumina</t>
  </si>
  <si>
    <t>Active Sorbent (PEI)</t>
  </si>
  <si>
    <t>PEI</t>
  </si>
  <si>
    <t>Methanol (regeneration)</t>
  </si>
  <si>
    <t>END OF LIFE</t>
  </si>
  <si>
    <t>Support Material EOL</t>
  </si>
  <si>
    <t>Landfill</t>
  </si>
  <si>
    <t>Active Sorbent EOL</t>
  </si>
  <si>
    <t>Combustion</t>
  </si>
  <si>
    <t>Methanol EOL</t>
  </si>
  <si>
    <t>SORBENT TOTALS</t>
  </si>
  <si>
    <t>Total Embodied per Batch (Production + EOL)</t>
  </si>
  <si>
    <t>Total Batches over Plant Lifetime</t>
  </si>
  <si>
    <t>Total Sorbent Embodied (lifetime)</t>
  </si>
  <si>
    <t>Notes: Sorbent quantities are ESTIMATES scaled from commercial LCA.</t>
  </si>
  <si>
    <t>Batch lifetime estimated at 2 years for pilot scale (may be shorter than commercial).</t>
  </si>
  <si>
    <t>Actual quantities should come from sorbent preparation records.</t>
  </si>
  <si>
    <t>TRANSPORT EMISSIONS</t>
  </si>
  <si>
    <t>Shipping and trucking of equipment and materials to site</t>
  </si>
  <si>
    <t>Route Description</t>
  </si>
  <si>
    <t>Mode</t>
  </si>
  <si>
    <t>Distance (km)</t>
  </si>
  <si>
    <t>Weight (tonnes)</t>
  </si>
  <si>
    <t>t-km</t>
  </si>
  <si>
    <t>EF (kg CO₂/t-km)</t>
  </si>
  <si>
    <t>EQUIPMENT TRANSPORT</t>
  </si>
  <si>
    <t>Kenya port (Mombasa) to Gilgil</t>
  </si>
  <si>
    <t>Road</t>
  </si>
  <si>
    <t>MATERIALS TRANSPORT</t>
  </si>
  <si>
    <t>Sorbent materials to site</t>
  </si>
  <si>
    <t>Chemicals to site</t>
  </si>
  <si>
    <t>Other materials</t>
  </si>
  <si>
    <t>TRANSPORT SUBTOTAL</t>
  </si>
  <si>
    <t>Notes:</t>
  </si>
  <si>
    <t>Notes: Transport distances are ESTIMATES.</t>
  </si>
  <si>
    <t>Sea shipping: Assumed equipment imported from Asia/Europe</t>
  </si>
  <si>
    <t>Road: Mombasa to Gilgil ~480km</t>
  </si>
  <si>
    <t>PHASE 1 LCA SUMMARY</t>
  </si>
  <si>
    <t>Automatic calculation of total embodied emissions</t>
  </si>
  <si>
    <t>Category</t>
  </si>
  <si>
    <t>Total Embodied (kg CO₂)</t>
  </si>
  <si>
    <t>Amortization (years)</t>
  </si>
  <si>
    <t>Amortization (weeks)</t>
  </si>
  <si>
    <t>Weekly Charge (kg CO₂/week)</t>
  </si>
  <si>
    <t>INFRASTRUCTURE</t>
  </si>
  <si>
    <t>Zone 1: Capture Modules</t>
  </si>
  <si>
    <t>Zone 2: Processing</t>
  </si>
  <si>
    <t>Zone 3: Liquefaction</t>
  </si>
  <si>
    <t>Transport</t>
  </si>
  <si>
    <t>Infrastructure Subtotal</t>
  </si>
  <si>
    <t>SORBENT SYSTEM</t>
  </si>
  <si>
    <t>Sorbent (per batch)</t>
  </si>
  <si>
    <t>Sorbent batch lifetime</t>
  </si>
  <si>
    <t>TOTAL WEEKLY EMBODIED CHARGE</t>
  </si>
  <si>
    <t>SUMMARY FOR CAS APPLICATION</t>
  </si>
  <si>
    <t>Grid EF</t>
  </si>
  <si>
    <t>Weekly Embodied - Infrastructure</t>
  </si>
  <si>
    <t>kg CO₂/week</t>
  </si>
  <si>
    <t>Weekly Embodied - Sorbent</t>
  </si>
  <si>
    <t>TOTAL Weekly Embodied</t>
  </si>
  <si>
    <t>This value should be entered into the CAS application 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</si>
</sst>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B5E20"/>
      <name val="Calibri"/>
    </font>
    <font>
      <b/>
      <sz val="12"/>
      <name val="Calibri"/>
    </font>
    <font>
      <b/>
      <sz val="11"/>
      <color rgb="FF1B5E20"/>
      <name val="Calibri"/>
    </font>
    <font>
      <b/>
      <sz val="12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E3F2FD"/>
      </patternFill>
    </fill>
    <fill>
      <patternFill patternType="solid">
        <fgColor rgb="FFC8E6C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0" borderId="1" xfId="0" applyBorder="1"/>
    <xf numFmtId="0" fontId="3" fillId="3" borderId="1" xfId="0" applyFont="1" applyFill="1" applyBorder="1"/>
    <xf numFmtId="0" fontId="0" fillId="4" borderId="1" xfId="0" applyFill="1" applyBorder="1"/>
    <xf numFmtId="0" fontId="5" fillId="0" borderId="1" xfId="0" applyFont="1" applyBorder="1"/>
    <xf numFmtId="0" fontId="0" fillId="5" borderId="1" xfId="0" applyFill="1" applyBorder="1"/>
    <xf numFmtId="0" fontId="5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workbookViewId="0"/>
  </sheetViews>
  <sheetFormatPr defaultRowHeight="15" x14ac:dyDescent="0.25"/>
  <cols>
    <col min="1" max="1" width="100" customWidth="1"/>
  </cols>
  <sheetData>
    <row r="1" spans="1:1" ht="21" x14ac:dyDescent="0.35">
      <c r="A1" s="1" t="s">
        <v>0</v>
      </c>
    </row>
    <row r="2" spans="1:1" ht="15.75" x14ac:dyDescent="0.25">
      <c r="A2" s="2" t="s">
        <v>1</v>
      </c>
    </row>
    <row r="4" spans="1:1" x14ac:dyDescent="0.25">
      <c r="A4" s="3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8" spans="1:1" x14ac:dyDescent="0.25">
      <c r="A8" s="3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4" spans="1:1" x14ac:dyDescent="0.25">
      <c r="A14" s="3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3" spans="1:1" x14ac:dyDescent="0.25">
      <c r="A23" s="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7" spans="1:1" x14ac:dyDescent="0.25">
      <c r="A27" s="3" t="s">
        <v>21</v>
      </c>
    </row>
    <row r="28" spans="1:1" x14ac:dyDescent="0.25">
      <c r="A28" t="s">
        <v>22</v>
      </c>
    </row>
    <row r="29" spans="1:1" x14ac:dyDescent="0.25">
      <c r="A29" t="s">
        <v>23</v>
      </c>
    </row>
    <row r="30" spans="1:1" x14ac:dyDescent="0.25">
      <c r="A30" t="s">
        <v>24</v>
      </c>
    </row>
    <row r="31" spans="1:1" x14ac:dyDescent="0.25">
      <c r="A31" t="s">
        <v>25</v>
      </c>
    </row>
    <row r="33" spans="1:1" x14ac:dyDescent="0.25">
      <c r="A33" s="3" t="s">
        <v>26</v>
      </c>
    </row>
    <row r="34" spans="1:1" x14ac:dyDescent="0.25">
      <c r="A34" t="s">
        <v>27</v>
      </c>
    </row>
    <row r="36" spans="1:1" x14ac:dyDescent="0.25">
      <c r="A36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/>
  </sheetViews>
  <sheetFormatPr defaultRowHeight="15" x14ac:dyDescent="0.25"/>
  <cols>
    <col min="1" max="1" width="25" customWidth="1"/>
    <col min="2" max="5" width="18" customWidth="1"/>
  </cols>
  <sheetData>
    <row r="1" spans="1:5" ht="15.75" x14ac:dyDescent="0.25">
      <c r="A1" s="4" t="s">
        <v>29</v>
      </c>
      <c r="B1" s="4"/>
      <c r="C1" s="4"/>
      <c r="D1" s="4"/>
      <c r="E1" s="4"/>
    </row>
    <row r="2" spans="1:5" x14ac:dyDescent="0.25">
      <c r="A2" s="5"/>
      <c r="B2" s="5"/>
      <c r="C2" s="5"/>
      <c r="D2" s="5"/>
      <c r="E2" s="5"/>
    </row>
    <row r="3" spans="1:5" x14ac:dyDescent="0.25">
      <c r="A3" s="6" t="s">
        <v>30</v>
      </c>
      <c r="B3" s="6" t="s">
        <v>31</v>
      </c>
      <c r="C3" s="6" t="s">
        <v>32</v>
      </c>
      <c r="D3" s="6" t="s">
        <v>33</v>
      </c>
      <c r="E3" s="6" t="s">
        <v>34</v>
      </c>
    </row>
    <row r="4" spans="1:5" x14ac:dyDescent="0.25">
      <c r="A4" s="5" t="s">
        <v>35</v>
      </c>
      <c r="B4" s="7" t="s">
        <v>36</v>
      </c>
      <c r="C4" s="5"/>
      <c r="D4" s="5"/>
      <c r="E4" s="5"/>
    </row>
    <row r="5" spans="1:5" x14ac:dyDescent="0.25">
      <c r="A5" s="5" t="s">
        <v>37</v>
      </c>
      <c r="B5" s="7" t="s">
        <v>38</v>
      </c>
      <c r="C5" s="5"/>
      <c r="D5" s="5"/>
      <c r="E5" s="5"/>
    </row>
    <row r="6" spans="1:5" x14ac:dyDescent="0.25">
      <c r="A6" s="5" t="s">
        <v>39</v>
      </c>
      <c r="B6" s="7">
        <v>100</v>
      </c>
      <c r="C6" s="5" t="s">
        <v>40</v>
      </c>
      <c r="D6" s="5"/>
      <c r="E6" s="5"/>
    </row>
    <row r="7" spans="1:5" x14ac:dyDescent="0.25">
      <c r="A7" s="5" t="s">
        <v>41</v>
      </c>
      <c r="B7" s="7">
        <v>10</v>
      </c>
      <c r="C7" s="5" t="s">
        <v>42</v>
      </c>
      <c r="D7" s="5" t="s">
        <v>43</v>
      </c>
      <c r="E7" s="5" t="s">
        <v>44</v>
      </c>
    </row>
    <row r="8" spans="1:5" x14ac:dyDescent="0.25">
      <c r="A8" s="5" t="s">
        <v>45</v>
      </c>
      <c r="B8" s="5">
        <f>B7*52</f>
        <v>520</v>
      </c>
      <c r="C8" s="5" t="s">
        <v>46</v>
      </c>
      <c r="D8" s="5"/>
      <c r="E8" s="5" t="s">
        <v>47</v>
      </c>
    </row>
    <row r="9" spans="1:5" x14ac:dyDescent="0.25">
      <c r="A9" s="5"/>
      <c r="B9" s="5"/>
      <c r="C9" s="5"/>
      <c r="D9" s="5"/>
      <c r="E9" s="5"/>
    </row>
    <row r="10" spans="1:5" ht="15.75" x14ac:dyDescent="0.25">
      <c r="A10" s="4" t="s">
        <v>48</v>
      </c>
      <c r="B10" s="4"/>
      <c r="C10" s="4"/>
      <c r="D10" s="4"/>
      <c r="E10" s="4"/>
    </row>
    <row r="11" spans="1:5" x14ac:dyDescent="0.25">
      <c r="A11" s="5"/>
      <c r="B11" s="5"/>
      <c r="C11" s="5"/>
      <c r="D11" s="5"/>
      <c r="E11" s="5"/>
    </row>
    <row r="12" spans="1:5" x14ac:dyDescent="0.25">
      <c r="A12" s="6" t="s">
        <v>49</v>
      </c>
      <c r="B12" s="6" t="s">
        <v>50</v>
      </c>
      <c r="C12" s="6" t="s">
        <v>32</v>
      </c>
      <c r="D12" s="6" t="s">
        <v>33</v>
      </c>
      <c r="E12" s="6" t="s">
        <v>34</v>
      </c>
    </row>
    <row r="13" spans="1:5" x14ac:dyDescent="0.25">
      <c r="A13" s="5" t="s">
        <v>51</v>
      </c>
      <c r="B13" s="7">
        <v>4.9000000000000002E-2</v>
      </c>
      <c r="C13" s="5" t="s">
        <v>52</v>
      </c>
      <c r="D13" s="5" t="s">
        <v>53</v>
      </c>
      <c r="E13" s="5"/>
    </row>
    <row r="14" spans="1:5" x14ac:dyDescent="0.25">
      <c r="A14" s="5" t="s">
        <v>54</v>
      </c>
      <c r="B14" s="7">
        <v>7.14</v>
      </c>
      <c r="C14" s="5" t="s">
        <v>55</v>
      </c>
      <c r="D14" s="5" t="s">
        <v>56</v>
      </c>
      <c r="E14" s="5"/>
    </row>
    <row r="15" spans="1:5" x14ac:dyDescent="0.25">
      <c r="A15" s="5" t="s">
        <v>57</v>
      </c>
      <c r="B15" s="7">
        <v>2.4</v>
      </c>
      <c r="C15" s="5" t="s">
        <v>55</v>
      </c>
      <c r="D15" s="5" t="s">
        <v>58</v>
      </c>
      <c r="E15" s="5"/>
    </row>
    <row r="16" spans="1:5" x14ac:dyDescent="0.25">
      <c r="A16" s="5" t="s">
        <v>59</v>
      </c>
      <c r="B16" s="7">
        <v>11.75</v>
      </c>
      <c r="C16" s="5" t="s">
        <v>55</v>
      </c>
      <c r="D16" s="5" t="s">
        <v>58</v>
      </c>
      <c r="E16" s="5"/>
    </row>
    <row r="17" spans="1:5" x14ac:dyDescent="0.25">
      <c r="A17" s="5" t="s">
        <v>60</v>
      </c>
      <c r="B17" s="7">
        <v>0.13</v>
      </c>
      <c r="C17" s="5" t="s">
        <v>55</v>
      </c>
      <c r="D17" s="5" t="s">
        <v>58</v>
      </c>
      <c r="E17" s="5" t="s">
        <v>61</v>
      </c>
    </row>
    <row r="18" spans="1:5" x14ac:dyDescent="0.25">
      <c r="A18" s="5" t="s">
        <v>62</v>
      </c>
      <c r="B18" s="7">
        <v>2400</v>
      </c>
      <c r="C18" s="5" t="s">
        <v>63</v>
      </c>
      <c r="D18" s="5"/>
      <c r="E18" s="5" t="s">
        <v>64</v>
      </c>
    </row>
    <row r="19" spans="1:5" x14ac:dyDescent="0.25">
      <c r="A19" s="5" t="s">
        <v>65</v>
      </c>
      <c r="B19" s="7">
        <v>2.4</v>
      </c>
      <c r="C19" s="5" t="s">
        <v>55</v>
      </c>
      <c r="D19" s="5" t="s">
        <v>58</v>
      </c>
      <c r="E19" s="5" t="s">
        <v>66</v>
      </c>
    </row>
    <row r="20" spans="1:5" x14ac:dyDescent="0.25">
      <c r="A20" s="5" t="s">
        <v>67</v>
      </c>
      <c r="B20" s="7">
        <v>1.91</v>
      </c>
      <c r="C20" s="5" t="s">
        <v>55</v>
      </c>
      <c r="D20" s="5" t="s">
        <v>58</v>
      </c>
      <c r="E20" s="5"/>
    </row>
    <row r="21" spans="1:5" x14ac:dyDescent="0.25">
      <c r="A21" s="5" t="s">
        <v>68</v>
      </c>
      <c r="B21" s="7">
        <v>11.05</v>
      </c>
      <c r="C21" s="5" t="s">
        <v>55</v>
      </c>
      <c r="D21" s="5" t="s">
        <v>69</v>
      </c>
      <c r="E21" s="5"/>
    </row>
    <row r="22" spans="1:5" x14ac:dyDescent="0.25">
      <c r="A22" s="5" t="s">
        <v>70</v>
      </c>
      <c r="B22" s="7">
        <v>0.92</v>
      </c>
      <c r="C22" s="5" t="s">
        <v>55</v>
      </c>
      <c r="D22" s="5" t="s">
        <v>58</v>
      </c>
      <c r="E22" s="5"/>
    </row>
    <row r="23" spans="1:5" x14ac:dyDescent="0.25">
      <c r="A23" s="5" t="s">
        <v>71</v>
      </c>
      <c r="B23" s="7">
        <v>5.0000000000000001E-3</v>
      </c>
      <c r="C23" s="5" t="s">
        <v>72</v>
      </c>
      <c r="D23" s="5" t="s">
        <v>73</v>
      </c>
      <c r="E23" s="5"/>
    </row>
    <row r="24" spans="1:5" x14ac:dyDescent="0.25">
      <c r="A24" s="5" t="s">
        <v>74</v>
      </c>
      <c r="B24" s="7">
        <v>8.5999999999999993E-2</v>
      </c>
      <c r="C24" s="5" t="s">
        <v>72</v>
      </c>
      <c r="D24" s="5" t="s">
        <v>75</v>
      </c>
      <c r="E24" s="5"/>
    </row>
    <row r="25" spans="1:5" x14ac:dyDescent="0.25">
      <c r="A25" s="5" t="s">
        <v>76</v>
      </c>
      <c r="B25" s="7">
        <v>0.02</v>
      </c>
      <c r="C25" s="5" t="s">
        <v>55</v>
      </c>
      <c r="D25" s="5" t="s">
        <v>77</v>
      </c>
      <c r="E25" s="5"/>
    </row>
    <row r="26" spans="1:5" x14ac:dyDescent="0.25">
      <c r="A26" s="5" t="s">
        <v>78</v>
      </c>
      <c r="B26" s="7">
        <v>1.29</v>
      </c>
      <c r="C26" s="5" t="s">
        <v>55</v>
      </c>
      <c r="D26" s="5" t="s">
        <v>77</v>
      </c>
      <c r="E26" s="5"/>
    </row>
    <row r="27" spans="1:5" x14ac:dyDescent="0.25">
      <c r="A27" s="5" t="s">
        <v>79</v>
      </c>
      <c r="B27" s="7">
        <v>1.29</v>
      </c>
      <c r="C27" s="5" t="s">
        <v>55</v>
      </c>
      <c r="D27" s="5" t="s">
        <v>58</v>
      </c>
      <c r="E27" s="5"/>
    </row>
    <row r="28" spans="1:5" x14ac:dyDescent="0.25">
      <c r="A28" s="5" t="s">
        <v>80</v>
      </c>
      <c r="B28" s="7">
        <v>0.02</v>
      </c>
      <c r="C28" s="5" t="s">
        <v>55</v>
      </c>
      <c r="D28" s="5" t="s">
        <v>77</v>
      </c>
      <c r="E28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>
      <selection activeCell="E6" sqref="E6"/>
    </sheetView>
  </sheetViews>
  <sheetFormatPr defaultRowHeight="15" x14ac:dyDescent="0.25"/>
  <cols>
    <col min="1" max="1" width="30" customWidth="1"/>
    <col min="2" max="7" width="15" customWidth="1"/>
  </cols>
  <sheetData>
    <row r="1" spans="1:7" ht="15.75" x14ac:dyDescent="0.25">
      <c r="A1" s="4" t="s">
        <v>81</v>
      </c>
      <c r="B1" s="4"/>
      <c r="C1" s="4"/>
      <c r="D1" s="4"/>
      <c r="E1" s="4"/>
      <c r="F1" s="4"/>
      <c r="G1" s="4"/>
    </row>
    <row r="2" spans="1:7" x14ac:dyDescent="0.25">
      <c r="A2" s="5" t="s">
        <v>82</v>
      </c>
      <c r="B2" s="5"/>
      <c r="C2" s="5"/>
      <c r="D2" s="5"/>
      <c r="E2" s="5"/>
      <c r="F2" s="5"/>
      <c r="G2" s="5"/>
    </row>
    <row r="3" spans="1:7" x14ac:dyDescent="0.25">
      <c r="A3" s="5"/>
      <c r="B3" s="5"/>
      <c r="C3" s="5"/>
      <c r="D3" s="5"/>
      <c r="E3" s="5"/>
      <c r="F3" s="5"/>
      <c r="G3" s="5"/>
    </row>
    <row r="4" spans="1:7" x14ac:dyDescent="0.25">
      <c r="A4" s="6" t="s">
        <v>83</v>
      </c>
      <c r="B4" s="6" t="s">
        <v>84</v>
      </c>
      <c r="C4" s="6" t="s">
        <v>85</v>
      </c>
      <c r="D4" s="6" t="s">
        <v>32</v>
      </c>
      <c r="E4" s="6" t="s">
        <v>86</v>
      </c>
      <c r="F4" s="6" t="s">
        <v>87</v>
      </c>
      <c r="G4" s="6" t="s">
        <v>88</v>
      </c>
    </row>
    <row r="5" spans="1:7" x14ac:dyDescent="0.25">
      <c r="A5" s="8" t="s">
        <v>89</v>
      </c>
      <c r="B5" s="8"/>
      <c r="C5" s="8"/>
      <c r="D5" s="8"/>
      <c r="E5" s="8"/>
      <c r="F5" s="8"/>
      <c r="G5" s="8"/>
    </row>
    <row r="6" spans="1:7" x14ac:dyDescent="0.25">
      <c r="A6" s="5" t="s">
        <v>90</v>
      </c>
      <c r="B6" s="5" t="s">
        <v>57</v>
      </c>
      <c r="C6" s="7">
        <v>1</v>
      </c>
      <c r="D6" s="5" t="s">
        <v>91</v>
      </c>
      <c r="E6" s="7">
        <v>3700</v>
      </c>
      <c r="F6" s="5">
        <v>2.4</v>
      </c>
      <c r="G6" s="9">
        <f>E6*F6</f>
        <v>8880</v>
      </c>
    </row>
    <row r="7" spans="1:7" x14ac:dyDescent="0.25">
      <c r="A7" s="5" t="s">
        <v>92</v>
      </c>
      <c r="B7" s="5"/>
      <c r="C7" s="7"/>
      <c r="D7" s="5" t="s">
        <v>93</v>
      </c>
      <c r="E7" s="7"/>
      <c r="F7" s="5"/>
      <c r="G7" s="5"/>
    </row>
    <row r="8" spans="1:7" x14ac:dyDescent="0.25">
      <c r="A8" s="5" t="s">
        <v>94</v>
      </c>
      <c r="B8" s="5" t="s">
        <v>57</v>
      </c>
      <c r="C8" s="7">
        <v>30</v>
      </c>
      <c r="D8" s="5" t="s">
        <v>95</v>
      </c>
      <c r="E8" s="7">
        <v>165</v>
      </c>
      <c r="F8" s="5">
        <v>2.4</v>
      </c>
      <c r="G8" s="9">
        <f>E8*F8</f>
        <v>396</v>
      </c>
    </row>
    <row r="9" spans="1:7" x14ac:dyDescent="0.25">
      <c r="A9" s="5" t="s">
        <v>96</v>
      </c>
      <c r="B9" s="5"/>
      <c r="C9" s="7">
        <v>5.5</v>
      </c>
      <c r="D9" s="5" t="s">
        <v>97</v>
      </c>
      <c r="E9" s="7"/>
      <c r="F9" s="5"/>
      <c r="G9" s="5"/>
    </row>
    <row r="10" spans="1:7" x14ac:dyDescent="0.25">
      <c r="A10" s="5" t="s">
        <v>98</v>
      </c>
      <c r="B10" s="5" t="s">
        <v>60</v>
      </c>
      <c r="C10" s="7">
        <v>0.5</v>
      </c>
      <c r="D10" s="5" t="s">
        <v>99</v>
      </c>
      <c r="E10" s="9">
        <f>C10*2400</f>
        <v>1200</v>
      </c>
      <c r="F10" s="5">
        <v>0.13</v>
      </c>
      <c r="G10" s="9">
        <f>E10*F10</f>
        <v>156</v>
      </c>
    </row>
    <row r="11" spans="1:7" x14ac:dyDescent="0.25">
      <c r="A11" s="5"/>
      <c r="B11" s="5"/>
      <c r="C11" s="5"/>
      <c r="D11" s="5"/>
      <c r="E11" s="5"/>
      <c r="F11" s="5"/>
      <c r="G11" s="5"/>
    </row>
    <row r="12" spans="1:7" x14ac:dyDescent="0.25">
      <c r="A12" s="8" t="s">
        <v>100</v>
      </c>
      <c r="B12" s="8"/>
      <c r="C12" s="8"/>
      <c r="D12" s="8"/>
      <c r="E12" s="8"/>
      <c r="F12" s="8"/>
      <c r="G12" s="8"/>
    </row>
    <row r="13" spans="1:7" x14ac:dyDescent="0.25">
      <c r="A13" s="5" t="s">
        <v>102</v>
      </c>
      <c r="B13" s="5" t="s">
        <v>103</v>
      </c>
      <c r="C13" s="7">
        <v>4</v>
      </c>
      <c r="D13" s="5" t="s">
        <v>101</v>
      </c>
      <c r="E13" s="7">
        <v>200</v>
      </c>
      <c r="F13" s="5">
        <v>7.14</v>
      </c>
      <c r="G13" s="9">
        <f>E13*F13</f>
        <v>1428</v>
      </c>
    </row>
    <row r="14" spans="1:7" x14ac:dyDescent="0.25">
      <c r="A14" s="5" t="s">
        <v>104</v>
      </c>
      <c r="B14" s="5" t="s">
        <v>103</v>
      </c>
      <c r="C14" s="7"/>
      <c r="D14" s="5" t="s">
        <v>105</v>
      </c>
      <c r="E14" s="7">
        <v>150</v>
      </c>
      <c r="F14" s="5">
        <v>7.14</v>
      </c>
      <c r="G14" s="9">
        <f>E14*F14</f>
        <v>1071</v>
      </c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8" t="s">
        <v>106</v>
      </c>
      <c r="B16" s="8"/>
      <c r="C16" s="8"/>
      <c r="D16" s="8"/>
      <c r="E16" s="8"/>
      <c r="F16" s="8"/>
      <c r="G16" s="8"/>
    </row>
    <row r="17" spans="1:7" x14ac:dyDescent="0.25">
      <c r="A17" s="5" t="s">
        <v>107</v>
      </c>
      <c r="B17" s="5" t="s">
        <v>108</v>
      </c>
      <c r="C17" s="7"/>
      <c r="D17" s="5" t="s">
        <v>105</v>
      </c>
      <c r="E17" s="7">
        <v>25</v>
      </c>
      <c r="F17" s="5">
        <v>3.5</v>
      </c>
      <c r="G17" s="9">
        <f t="shared" ref="G17:G23" si="0">E17*F17</f>
        <v>87.5</v>
      </c>
    </row>
    <row r="18" spans="1:7" x14ac:dyDescent="0.25">
      <c r="A18" s="5" t="s">
        <v>109</v>
      </c>
      <c r="B18" s="5" t="s">
        <v>108</v>
      </c>
      <c r="C18" s="7"/>
      <c r="D18" s="5" t="s">
        <v>105</v>
      </c>
      <c r="E18" s="7">
        <v>25</v>
      </c>
      <c r="F18" s="5">
        <v>3.5</v>
      </c>
      <c r="G18" s="9">
        <f t="shared" si="0"/>
        <v>87.5</v>
      </c>
    </row>
    <row r="19" spans="1:7" x14ac:dyDescent="0.25">
      <c r="A19" s="5" t="s">
        <v>110</v>
      </c>
      <c r="B19" s="5" t="s">
        <v>108</v>
      </c>
      <c r="C19" s="7"/>
      <c r="D19" s="5" t="s">
        <v>105</v>
      </c>
      <c r="E19" s="7">
        <v>25</v>
      </c>
      <c r="F19" s="5">
        <v>3.5</v>
      </c>
      <c r="G19" s="9">
        <f t="shared" si="0"/>
        <v>87.5</v>
      </c>
    </row>
    <row r="20" spans="1:7" x14ac:dyDescent="0.25">
      <c r="A20" s="5" t="s">
        <v>111</v>
      </c>
      <c r="B20" s="5" t="s">
        <v>108</v>
      </c>
      <c r="C20" s="7"/>
      <c r="D20" s="5" t="s">
        <v>105</v>
      </c>
      <c r="E20" s="7">
        <v>25</v>
      </c>
      <c r="F20" s="5">
        <v>3.5</v>
      </c>
      <c r="G20" s="9">
        <f t="shared" si="0"/>
        <v>87.5</v>
      </c>
    </row>
    <row r="21" spans="1:7" x14ac:dyDescent="0.25">
      <c r="A21" s="5" t="s">
        <v>112</v>
      </c>
      <c r="B21" s="5" t="s">
        <v>57</v>
      </c>
      <c r="C21" s="7"/>
      <c r="D21" s="5" t="s">
        <v>105</v>
      </c>
      <c r="E21" s="7">
        <v>500</v>
      </c>
      <c r="F21" s="5">
        <v>2.4</v>
      </c>
      <c r="G21" s="9">
        <f t="shared" si="0"/>
        <v>1200</v>
      </c>
    </row>
    <row r="22" spans="1:7" x14ac:dyDescent="0.25">
      <c r="A22" s="5" t="s">
        <v>113</v>
      </c>
      <c r="B22" s="5" t="s">
        <v>103</v>
      </c>
      <c r="C22" s="7"/>
      <c r="D22" s="5" t="s">
        <v>105</v>
      </c>
      <c r="E22" s="7">
        <v>100</v>
      </c>
      <c r="F22" s="5">
        <v>7.14</v>
      </c>
      <c r="G22" s="9">
        <f t="shared" si="0"/>
        <v>714</v>
      </c>
    </row>
    <row r="23" spans="1:7" x14ac:dyDescent="0.25">
      <c r="A23" s="5" t="s">
        <v>114</v>
      </c>
      <c r="B23" s="5" t="s">
        <v>115</v>
      </c>
      <c r="C23" s="7"/>
      <c r="D23" s="5" t="s">
        <v>105</v>
      </c>
      <c r="E23" s="7">
        <v>50</v>
      </c>
      <c r="F23" s="5">
        <v>3</v>
      </c>
      <c r="G23" s="9">
        <f t="shared" si="0"/>
        <v>150</v>
      </c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6" t="s">
        <v>116</v>
      </c>
      <c r="B25" s="6"/>
      <c r="C25" s="6"/>
      <c r="D25" s="6"/>
      <c r="E25" s="6">
        <f>SUM(E6:E23)</f>
        <v>6165</v>
      </c>
      <c r="F25" s="6"/>
      <c r="G25" s="6">
        <f>SUM(G6:G23)</f>
        <v>14345</v>
      </c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 t="s">
        <v>117</v>
      </c>
      <c r="B27" s="5"/>
      <c r="C27" s="5"/>
      <c r="D27" s="5"/>
      <c r="E27" s="5"/>
      <c r="F27" s="5"/>
      <c r="G27" s="5"/>
    </row>
    <row r="28" spans="1:7" x14ac:dyDescent="0.25">
      <c r="A28" t="s">
        <v>118</v>
      </c>
    </row>
    <row r="29" spans="1:7" x14ac:dyDescent="0.25">
      <c r="A29" t="s">
        <v>119</v>
      </c>
    </row>
    <row r="30" spans="1:7" x14ac:dyDescent="0.25">
      <c r="A30" t="s">
        <v>120</v>
      </c>
    </row>
    <row r="31" spans="1:7" x14ac:dyDescent="0.25">
      <c r="A31" t="s">
        <v>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workbookViewId="0">
      <selection activeCell="A9" sqref="A9:XFD9"/>
    </sheetView>
  </sheetViews>
  <sheetFormatPr defaultRowHeight="15" x14ac:dyDescent="0.25"/>
  <cols>
    <col min="1" max="1" width="30" customWidth="1"/>
    <col min="2" max="7" width="15" customWidth="1"/>
  </cols>
  <sheetData>
    <row r="1" spans="1:7" ht="15.75" x14ac:dyDescent="0.25">
      <c r="A1" s="4" t="s">
        <v>122</v>
      </c>
      <c r="B1" s="4"/>
      <c r="C1" s="4"/>
      <c r="D1" s="4"/>
      <c r="E1" s="4"/>
      <c r="F1" s="4"/>
      <c r="G1" s="4"/>
    </row>
    <row r="2" spans="1:7" x14ac:dyDescent="0.25">
      <c r="A2" s="5" t="s">
        <v>123</v>
      </c>
      <c r="B2" s="5"/>
      <c r="C2" s="5"/>
      <c r="D2" s="5"/>
      <c r="E2" s="5"/>
      <c r="F2" s="5"/>
      <c r="G2" s="5"/>
    </row>
    <row r="3" spans="1:7" x14ac:dyDescent="0.25">
      <c r="A3" s="5"/>
      <c r="B3" s="5"/>
      <c r="C3" s="5"/>
      <c r="D3" s="5"/>
      <c r="E3" s="5"/>
      <c r="F3" s="5"/>
      <c r="G3" s="5"/>
    </row>
    <row r="4" spans="1:7" x14ac:dyDescent="0.25">
      <c r="A4" s="6" t="s">
        <v>83</v>
      </c>
      <c r="B4" s="6" t="s">
        <v>84</v>
      </c>
      <c r="C4" s="6" t="s">
        <v>85</v>
      </c>
      <c r="D4" s="6" t="s">
        <v>32</v>
      </c>
      <c r="E4" s="6" t="s">
        <v>86</v>
      </c>
      <c r="F4" s="6" t="s">
        <v>87</v>
      </c>
      <c r="G4" s="6" t="s">
        <v>88</v>
      </c>
    </row>
    <row r="5" spans="1:7" x14ac:dyDescent="0.25">
      <c r="A5" s="8" t="s">
        <v>89</v>
      </c>
      <c r="B5" s="8"/>
      <c r="C5" s="8"/>
      <c r="D5" s="8"/>
      <c r="E5" s="8"/>
      <c r="F5" s="8"/>
      <c r="G5" s="8"/>
    </row>
    <row r="6" spans="1:7" x14ac:dyDescent="0.25">
      <c r="A6" s="5" t="s">
        <v>124</v>
      </c>
      <c r="B6" s="5" t="s">
        <v>57</v>
      </c>
      <c r="C6" s="7"/>
      <c r="D6" s="5" t="s">
        <v>105</v>
      </c>
      <c r="E6" s="7">
        <v>1200</v>
      </c>
      <c r="F6" s="5">
        <v>2.4</v>
      </c>
      <c r="G6" s="9">
        <f>E6*F6</f>
        <v>2880</v>
      </c>
    </row>
    <row r="7" spans="1:7" x14ac:dyDescent="0.25">
      <c r="A7" s="5" t="s">
        <v>94</v>
      </c>
      <c r="B7" s="5" t="s">
        <v>57</v>
      </c>
      <c r="C7" s="7">
        <v>40</v>
      </c>
      <c r="D7" s="5" t="s">
        <v>95</v>
      </c>
      <c r="E7" s="7">
        <v>220</v>
      </c>
      <c r="F7" s="5">
        <v>2.4</v>
      </c>
      <c r="G7" s="9">
        <f>E7*F7</f>
        <v>528</v>
      </c>
    </row>
    <row r="8" spans="1:7" x14ac:dyDescent="0.25">
      <c r="A8" s="5" t="s">
        <v>96</v>
      </c>
      <c r="B8" s="5"/>
      <c r="C8" s="7">
        <v>5.5</v>
      </c>
      <c r="D8" s="5" t="s">
        <v>97</v>
      </c>
      <c r="E8" s="7"/>
      <c r="F8" s="5"/>
      <c r="G8" s="5"/>
    </row>
    <row r="9" spans="1:7" x14ac:dyDescent="0.25">
      <c r="A9" s="5"/>
      <c r="B9" s="5"/>
      <c r="C9" s="5"/>
      <c r="D9" s="5"/>
      <c r="E9" s="5"/>
      <c r="F9" s="5"/>
      <c r="G9" s="5"/>
    </row>
    <row r="10" spans="1:7" x14ac:dyDescent="0.25">
      <c r="A10" s="8" t="s">
        <v>106</v>
      </c>
      <c r="B10" s="8"/>
      <c r="C10" s="8"/>
      <c r="D10" s="8"/>
      <c r="E10" s="8"/>
      <c r="F10" s="8"/>
      <c r="G10" s="8"/>
    </row>
    <row r="11" spans="1:7" x14ac:dyDescent="0.25">
      <c r="A11" s="5" t="s">
        <v>125</v>
      </c>
      <c r="B11" s="5" t="s">
        <v>103</v>
      </c>
      <c r="C11" s="7"/>
      <c r="D11" s="5" t="s">
        <v>105</v>
      </c>
      <c r="E11" s="7">
        <v>80</v>
      </c>
      <c r="F11" s="5">
        <v>7.14</v>
      </c>
      <c r="G11" s="9">
        <f t="shared" ref="G11:G16" si="0">E11*F11</f>
        <v>571.19999999999993</v>
      </c>
    </row>
    <row r="12" spans="1:7" x14ac:dyDescent="0.25">
      <c r="A12" s="5" t="s">
        <v>126</v>
      </c>
      <c r="B12" s="5" t="s">
        <v>103</v>
      </c>
      <c r="C12" s="7"/>
      <c r="D12" s="5" t="s">
        <v>105</v>
      </c>
      <c r="E12" s="7">
        <v>50</v>
      </c>
      <c r="F12" s="5">
        <v>7.14</v>
      </c>
      <c r="G12" s="9">
        <f t="shared" si="0"/>
        <v>357</v>
      </c>
    </row>
    <row r="13" spans="1:7" x14ac:dyDescent="0.25">
      <c r="A13" s="5" t="s">
        <v>127</v>
      </c>
      <c r="B13" s="5" t="s">
        <v>108</v>
      </c>
      <c r="C13" s="7"/>
      <c r="D13" s="5" t="s">
        <v>105</v>
      </c>
      <c r="E13" s="7">
        <v>150</v>
      </c>
      <c r="F13" s="5">
        <v>3.5</v>
      </c>
      <c r="G13" s="9">
        <f t="shared" si="0"/>
        <v>525</v>
      </c>
    </row>
    <row r="14" spans="1:7" x14ac:dyDescent="0.25">
      <c r="A14" s="5" t="s">
        <v>128</v>
      </c>
      <c r="B14" s="5" t="s">
        <v>129</v>
      </c>
      <c r="C14" s="7"/>
      <c r="D14" s="5" t="s">
        <v>105</v>
      </c>
      <c r="E14" s="7">
        <v>30</v>
      </c>
      <c r="F14" s="5">
        <v>2.5</v>
      </c>
      <c r="G14" s="9">
        <f t="shared" si="0"/>
        <v>75</v>
      </c>
    </row>
    <row r="15" spans="1:7" x14ac:dyDescent="0.25">
      <c r="A15" s="5" t="s">
        <v>130</v>
      </c>
      <c r="B15" s="5" t="s">
        <v>103</v>
      </c>
      <c r="C15" s="7"/>
      <c r="D15" s="5" t="s">
        <v>105</v>
      </c>
      <c r="E15" s="7">
        <v>80</v>
      </c>
      <c r="F15" s="5">
        <v>7.14</v>
      </c>
      <c r="G15" s="9">
        <f t="shared" si="0"/>
        <v>571.19999999999993</v>
      </c>
    </row>
    <row r="16" spans="1:7" x14ac:dyDescent="0.25">
      <c r="A16" s="5" t="s">
        <v>131</v>
      </c>
      <c r="B16" s="5" t="s">
        <v>103</v>
      </c>
      <c r="C16" s="7"/>
      <c r="D16" s="5" t="s">
        <v>105</v>
      </c>
      <c r="E16" s="7">
        <v>40</v>
      </c>
      <c r="F16" s="5">
        <v>7.14</v>
      </c>
      <c r="G16" s="9">
        <f t="shared" si="0"/>
        <v>285.59999999999997</v>
      </c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6" t="s">
        <v>132</v>
      </c>
      <c r="B18" s="6"/>
      <c r="C18" s="6"/>
      <c r="D18" s="6"/>
      <c r="E18" s="6">
        <f>SUM(E6:E16)</f>
        <v>1850</v>
      </c>
      <c r="F18" s="6"/>
      <c r="G18" s="6">
        <f>SUM(G6:G16)</f>
        <v>5793</v>
      </c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 t="s">
        <v>133</v>
      </c>
      <c r="B20" s="5"/>
      <c r="C20" s="5"/>
      <c r="D20" s="5"/>
      <c r="E20" s="5"/>
      <c r="F20" s="5"/>
      <c r="G20" s="5"/>
    </row>
    <row r="21" spans="1:7" x14ac:dyDescent="0.25">
      <c r="A21" t="s">
        <v>134</v>
      </c>
    </row>
    <row r="22" spans="1:7" x14ac:dyDescent="0.25">
      <c r="A22" t="s">
        <v>135</v>
      </c>
    </row>
    <row r="23" spans="1:7" x14ac:dyDescent="0.25">
      <c r="A23" t="s">
        <v>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workbookViewId="0">
      <selection activeCell="A8" sqref="A8:XFD8"/>
    </sheetView>
  </sheetViews>
  <sheetFormatPr defaultRowHeight="15" x14ac:dyDescent="0.25"/>
  <cols>
    <col min="1" max="1" width="30" customWidth="1"/>
    <col min="2" max="7" width="15" customWidth="1"/>
  </cols>
  <sheetData>
    <row r="1" spans="1:7" ht="15.75" x14ac:dyDescent="0.25">
      <c r="A1" s="4" t="s">
        <v>137</v>
      </c>
      <c r="B1" s="4"/>
      <c r="C1" s="4"/>
      <c r="D1" s="4"/>
      <c r="E1" s="4"/>
      <c r="F1" s="4"/>
      <c r="G1" s="4"/>
    </row>
    <row r="2" spans="1:7" x14ac:dyDescent="0.25">
      <c r="A2" s="5" t="s">
        <v>138</v>
      </c>
      <c r="B2" s="5"/>
      <c r="C2" s="5"/>
      <c r="D2" s="5"/>
      <c r="E2" s="5"/>
      <c r="F2" s="5"/>
      <c r="G2" s="5"/>
    </row>
    <row r="3" spans="1:7" x14ac:dyDescent="0.25">
      <c r="A3" s="5"/>
      <c r="B3" s="5"/>
      <c r="C3" s="5"/>
      <c r="D3" s="5"/>
      <c r="E3" s="5"/>
      <c r="F3" s="5"/>
      <c r="G3" s="5"/>
    </row>
    <row r="4" spans="1:7" x14ac:dyDescent="0.25">
      <c r="A4" s="6" t="s">
        <v>83</v>
      </c>
      <c r="B4" s="6" t="s">
        <v>84</v>
      </c>
      <c r="C4" s="6" t="s">
        <v>85</v>
      </c>
      <c r="D4" s="6" t="s">
        <v>32</v>
      </c>
      <c r="E4" s="6" t="s">
        <v>86</v>
      </c>
      <c r="F4" s="6" t="s">
        <v>87</v>
      </c>
      <c r="G4" s="6" t="s">
        <v>88</v>
      </c>
    </row>
    <row r="5" spans="1:7" x14ac:dyDescent="0.25">
      <c r="A5" s="8" t="s">
        <v>89</v>
      </c>
      <c r="B5" s="8"/>
      <c r="C5" s="8"/>
      <c r="D5" s="8"/>
      <c r="E5" s="8"/>
      <c r="F5" s="8"/>
      <c r="G5" s="8"/>
    </row>
    <row r="6" spans="1:7" x14ac:dyDescent="0.25">
      <c r="A6" s="5" t="s">
        <v>139</v>
      </c>
      <c r="B6" s="5" t="s">
        <v>57</v>
      </c>
      <c r="C6" s="7">
        <v>25</v>
      </c>
      <c r="D6" s="5" t="s">
        <v>95</v>
      </c>
      <c r="E6" s="7">
        <v>137.5</v>
      </c>
      <c r="F6" s="5">
        <v>2.4</v>
      </c>
      <c r="G6" s="9">
        <f>E6*F6</f>
        <v>330</v>
      </c>
    </row>
    <row r="7" spans="1:7" x14ac:dyDescent="0.25">
      <c r="A7" s="5" t="s">
        <v>96</v>
      </c>
      <c r="B7" s="5"/>
      <c r="C7" s="7">
        <v>5.5</v>
      </c>
      <c r="D7" s="5" t="s">
        <v>97</v>
      </c>
      <c r="E7" s="7"/>
      <c r="F7" s="5"/>
      <c r="G7" s="5"/>
    </row>
    <row r="8" spans="1:7" x14ac:dyDescent="0.25">
      <c r="A8" s="5"/>
      <c r="B8" s="5"/>
      <c r="C8" s="5"/>
      <c r="D8" s="5"/>
      <c r="E8" s="5"/>
      <c r="F8" s="5"/>
      <c r="G8" s="5"/>
    </row>
    <row r="9" spans="1:7" x14ac:dyDescent="0.25">
      <c r="A9" s="8" t="s">
        <v>106</v>
      </c>
      <c r="B9" s="8"/>
      <c r="C9" s="8"/>
      <c r="D9" s="8"/>
      <c r="E9" s="8"/>
      <c r="F9" s="8"/>
      <c r="G9" s="8"/>
    </row>
    <row r="10" spans="1:7" x14ac:dyDescent="0.25">
      <c r="A10" s="5" t="s">
        <v>140</v>
      </c>
      <c r="B10" s="5" t="s">
        <v>129</v>
      </c>
      <c r="C10" s="7"/>
      <c r="D10" s="5" t="s">
        <v>105</v>
      </c>
      <c r="E10" s="7">
        <v>20</v>
      </c>
      <c r="F10" s="5">
        <v>2.5</v>
      </c>
      <c r="G10" s="9">
        <f t="shared" ref="G10:G16" si="0">E10*F10</f>
        <v>50</v>
      </c>
    </row>
    <row r="11" spans="1:7" x14ac:dyDescent="0.25">
      <c r="A11" s="5" t="s">
        <v>141</v>
      </c>
      <c r="B11" s="5" t="s">
        <v>115</v>
      </c>
      <c r="C11" s="7"/>
      <c r="D11" s="5" t="s">
        <v>105</v>
      </c>
      <c r="E11" s="7">
        <v>400</v>
      </c>
      <c r="F11" s="5">
        <v>4</v>
      </c>
      <c r="G11" s="9">
        <f t="shared" si="0"/>
        <v>1600</v>
      </c>
    </row>
    <row r="12" spans="1:7" x14ac:dyDescent="0.25">
      <c r="A12" s="5" t="s">
        <v>142</v>
      </c>
      <c r="B12" s="5" t="s">
        <v>103</v>
      </c>
      <c r="C12" s="7"/>
      <c r="D12" s="5" t="s">
        <v>105</v>
      </c>
      <c r="E12" s="7">
        <v>300</v>
      </c>
      <c r="F12" s="5">
        <v>7.14</v>
      </c>
      <c r="G12" s="9">
        <f t="shared" si="0"/>
        <v>2142</v>
      </c>
    </row>
    <row r="13" spans="1:7" x14ac:dyDescent="0.25">
      <c r="A13" s="5" t="s">
        <v>143</v>
      </c>
      <c r="B13" s="5" t="s">
        <v>108</v>
      </c>
      <c r="C13" s="7"/>
      <c r="D13" s="5" t="s">
        <v>105</v>
      </c>
      <c r="E13" s="7">
        <v>50</v>
      </c>
      <c r="F13" s="5">
        <v>3.5</v>
      </c>
      <c r="G13" s="9">
        <f t="shared" si="0"/>
        <v>175</v>
      </c>
    </row>
    <row r="14" spans="1:7" x14ac:dyDescent="0.25">
      <c r="A14" s="5" t="s">
        <v>130</v>
      </c>
      <c r="B14" s="5" t="s">
        <v>103</v>
      </c>
      <c r="C14" s="7"/>
      <c r="D14" s="5" t="s">
        <v>105</v>
      </c>
      <c r="E14" s="7">
        <v>60</v>
      </c>
      <c r="F14" s="5">
        <v>7.14</v>
      </c>
      <c r="G14" s="9">
        <f t="shared" si="0"/>
        <v>428.4</v>
      </c>
    </row>
    <row r="15" spans="1:7" x14ac:dyDescent="0.25">
      <c r="A15" s="5" t="s">
        <v>131</v>
      </c>
      <c r="B15" s="5" t="s">
        <v>103</v>
      </c>
      <c r="C15" s="7"/>
      <c r="D15" s="5" t="s">
        <v>105</v>
      </c>
      <c r="E15" s="7">
        <v>30</v>
      </c>
      <c r="F15" s="5">
        <v>7.14</v>
      </c>
      <c r="G15" s="9">
        <f t="shared" si="0"/>
        <v>214.2</v>
      </c>
    </row>
    <row r="16" spans="1:7" x14ac:dyDescent="0.25">
      <c r="A16" s="5" t="s">
        <v>144</v>
      </c>
      <c r="B16" s="5" t="s">
        <v>115</v>
      </c>
      <c r="C16" s="7"/>
      <c r="D16" s="5" t="s">
        <v>105</v>
      </c>
      <c r="E16" s="7">
        <v>40</v>
      </c>
      <c r="F16" s="5">
        <v>2</v>
      </c>
      <c r="G16" s="9">
        <f t="shared" si="0"/>
        <v>80</v>
      </c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6" t="s">
        <v>145</v>
      </c>
      <c r="B18" s="6"/>
      <c r="C18" s="6"/>
      <c r="D18" s="6"/>
      <c r="E18" s="6">
        <f>SUM(E6:E16)</f>
        <v>1037.5</v>
      </c>
      <c r="F18" s="6"/>
      <c r="G18" s="6">
        <f>SUM(G6:G16)</f>
        <v>5019.5999999999995</v>
      </c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 t="s">
        <v>133</v>
      </c>
      <c r="B20" s="5"/>
      <c r="C20" s="5"/>
      <c r="D20" s="5"/>
      <c r="E20" s="5"/>
      <c r="F20" s="5"/>
      <c r="G20" s="5"/>
    </row>
    <row r="21" spans="1:7" x14ac:dyDescent="0.25">
      <c r="A21" t="s">
        <v>146</v>
      </c>
    </row>
    <row r="22" spans="1:7" x14ac:dyDescent="0.25">
      <c r="A22" t="s">
        <v>147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>
      <selection activeCell="C7" sqref="C7"/>
    </sheetView>
  </sheetViews>
  <sheetFormatPr defaultRowHeight="15" x14ac:dyDescent="0.25"/>
  <cols>
    <col min="1" max="1" width="35" customWidth="1"/>
    <col min="2" max="7" width="18" customWidth="1"/>
  </cols>
  <sheetData>
    <row r="1" spans="1:7" ht="15.75" x14ac:dyDescent="0.25">
      <c r="A1" s="4" t="s">
        <v>148</v>
      </c>
      <c r="B1" s="4"/>
      <c r="C1" s="4"/>
      <c r="D1" s="4"/>
      <c r="E1" s="4"/>
      <c r="F1" s="4"/>
      <c r="G1" s="4"/>
    </row>
    <row r="2" spans="1:7" x14ac:dyDescent="0.25">
      <c r="A2" s="5" t="s">
        <v>149</v>
      </c>
      <c r="B2" s="5"/>
      <c r="C2" s="5"/>
      <c r="D2" s="5"/>
      <c r="E2" s="5"/>
      <c r="F2" s="5"/>
      <c r="G2" s="5"/>
    </row>
    <row r="3" spans="1:7" x14ac:dyDescent="0.25">
      <c r="A3" s="5"/>
      <c r="B3" s="5"/>
      <c r="C3" s="5"/>
      <c r="D3" s="5"/>
      <c r="E3" s="5"/>
      <c r="F3" s="5"/>
      <c r="G3" s="5"/>
    </row>
    <row r="4" spans="1:7" x14ac:dyDescent="0.25">
      <c r="A4" s="6" t="s">
        <v>83</v>
      </c>
      <c r="B4" s="6" t="s">
        <v>150</v>
      </c>
      <c r="C4" s="6" t="s">
        <v>151</v>
      </c>
      <c r="D4" s="6" t="s">
        <v>152</v>
      </c>
      <c r="E4" s="6" t="s">
        <v>153</v>
      </c>
      <c r="F4" s="6" t="s">
        <v>87</v>
      </c>
      <c r="G4" s="6" t="s">
        <v>154</v>
      </c>
    </row>
    <row r="5" spans="1:7" x14ac:dyDescent="0.25">
      <c r="A5" s="8" t="s">
        <v>155</v>
      </c>
      <c r="B5" s="8"/>
      <c r="C5" s="8"/>
      <c r="D5" s="8"/>
      <c r="E5" s="8"/>
      <c r="F5" s="8"/>
      <c r="G5" s="8"/>
    </row>
    <row r="6" spans="1:7" x14ac:dyDescent="0.25">
      <c r="A6" s="5" t="s">
        <v>156</v>
      </c>
      <c r="B6" s="5" t="s">
        <v>157</v>
      </c>
      <c r="C6" s="7">
        <v>60</v>
      </c>
      <c r="D6" s="7">
        <v>2</v>
      </c>
      <c r="E6" s="9">
        <f>Parameters!$B$7/D6</f>
        <v>5</v>
      </c>
      <c r="F6" s="5">
        <v>1.91</v>
      </c>
      <c r="G6" s="9">
        <f>C6*F6</f>
        <v>114.6</v>
      </c>
    </row>
    <row r="7" spans="1:7" x14ac:dyDescent="0.25">
      <c r="A7" s="5" t="s">
        <v>158</v>
      </c>
      <c r="B7" s="5" t="s">
        <v>159</v>
      </c>
      <c r="C7" s="7">
        <v>60</v>
      </c>
      <c r="D7" s="7">
        <v>2</v>
      </c>
      <c r="E7" s="9">
        <f>Parameters!$B$7/D7</f>
        <v>5</v>
      </c>
      <c r="F7" s="5">
        <v>11.05</v>
      </c>
      <c r="G7" s="9">
        <f>C7*F7</f>
        <v>663</v>
      </c>
    </row>
    <row r="8" spans="1:7" x14ac:dyDescent="0.25">
      <c r="A8" s="5" t="s">
        <v>160</v>
      </c>
      <c r="B8" s="5" t="s">
        <v>70</v>
      </c>
      <c r="C8" s="7">
        <v>60</v>
      </c>
      <c r="D8" s="7">
        <v>2</v>
      </c>
      <c r="E8" s="9">
        <f>Parameters!$B$7/D8</f>
        <v>5</v>
      </c>
      <c r="F8" s="5">
        <v>0.92</v>
      </c>
      <c r="G8" s="9">
        <f>C8*F8</f>
        <v>55.2</v>
      </c>
    </row>
    <row r="9" spans="1:7" x14ac:dyDescent="0.25">
      <c r="A9" s="5"/>
      <c r="B9" s="5"/>
      <c r="C9" s="5"/>
      <c r="D9" s="5"/>
      <c r="E9" s="5"/>
      <c r="F9" s="5"/>
      <c r="G9" s="5"/>
    </row>
    <row r="10" spans="1:7" x14ac:dyDescent="0.25">
      <c r="A10" s="8" t="s">
        <v>161</v>
      </c>
      <c r="B10" s="8"/>
      <c r="C10" s="8"/>
      <c r="D10" s="8"/>
      <c r="E10" s="8"/>
      <c r="F10" s="8"/>
      <c r="G10" s="8"/>
    </row>
    <row r="11" spans="1:7" x14ac:dyDescent="0.25">
      <c r="A11" s="5" t="s">
        <v>162</v>
      </c>
      <c r="B11" s="5" t="s">
        <v>163</v>
      </c>
      <c r="C11" s="9">
        <f t="shared" ref="C11:E13" si="0">C6</f>
        <v>60</v>
      </c>
      <c r="D11" s="9">
        <f t="shared" si="0"/>
        <v>2</v>
      </c>
      <c r="E11" s="9">
        <f t="shared" si="0"/>
        <v>5</v>
      </c>
      <c r="F11" s="5">
        <v>0.02</v>
      </c>
      <c r="G11" s="9">
        <f>C11*F11</f>
        <v>1.2</v>
      </c>
    </row>
    <row r="12" spans="1:7" x14ac:dyDescent="0.25">
      <c r="A12" s="5" t="s">
        <v>164</v>
      </c>
      <c r="B12" s="5" t="s">
        <v>165</v>
      </c>
      <c r="C12" s="9">
        <f t="shared" si="0"/>
        <v>60</v>
      </c>
      <c r="D12" s="9">
        <f t="shared" si="0"/>
        <v>2</v>
      </c>
      <c r="E12" s="9">
        <f t="shared" si="0"/>
        <v>5</v>
      </c>
      <c r="F12" s="5">
        <v>1.29</v>
      </c>
      <c r="G12" s="9">
        <f>C12*F12</f>
        <v>77.400000000000006</v>
      </c>
    </row>
    <row r="13" spans="1:7" x14ac:dyDescent="0.25">
      <c r="A13" s="5" t="s">
        <v>166</v>
      </c>
      <c r="B13" s="5" t="s">
        <v>165</v>
      </c>
      <c r="C13" s="9">
        <f t="shared" si="0"/>
        <v>60</v>
      </c>
      <c r="D13" s="9">
        <f t="shared" si="0"/>
        <v>2</v>
      </c>
      <c r="E13" s="9">
        <f t="shared" si="0"/>
        <v>5</v>
      </c>
      <c r="F13" s="5">
        <v>1.29</v>
      </c>
      <c r="G13" s="9">
        <f>C13*F13</f>
        <v>77.400000000000006</v>
      </c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6" t="s">
        <v>167</v>
      </c>
      <c r="B15" s="6"/>
      <c r="C15" s="6"/>
      <c r="D15" s="6"/>
      <c r="E15" s="6"/>
      <c r="F15" s="6"/>
      <c r="G15" s="6"/>
    </row>
    <row r="16" spans="1:7" x14ac:dyDescent="0.25">
      <c r="A16" s="5" t="s">
        <v>168</v>
      </c>
      <c r="B16" s="5"/>
      <c r="C16" s="5"/>
      <c r="D16" s="5"/>
      <c r="E16" s="5"/>
      <c r="F16" s="5"/>
      <c r="G16" s="9">
        <f>SUM(G6:G8)+SUM(G11:G13)</f>
        <v>988.80000000000007</v>
      </c>
    </row>
    <row r="17" spans="1:7" x14ac:dyDescent="0.25">
      <c r="A17" s="5" t="s">
        <v>169</v>
      </c>
      <c r="B17" s="5"/>
      <c r="C17" s="5"/>
      <c r="D17" s="5"/>
      <c r="E17" s="9">
        <f>MAX(E6:E8)</f>
        <v>5</v>
      </c>
      <c r="F17" s="5"/>
      <c r="G17" s="5"/>
    </row>
    <row r="18" spans="1:7" x14ac:dyDescent="0.25">
      <c r="A18" s="5" t="s">
        <v>170</v>
      </c>
      <c r="B18" s="5"/>
      <c r="C18" s="5"/>
      <c r="D18" s="5"/>
      <c r="E18" s="5"/>
      <c r="F18" s="5"/>
      <c r="G18" s="9">
        <f>G16*E17</f>
        <v>4944</v>
      </c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 t="s">
        <v>171</v>
      </c>
      <c r="B20" s="5"/>
      <c r="C20" s="5"/>
      <c r="D20" s="5"/>
      <c r="E20" s="5"/>
      <c r="F20" s="5"/>
      <c r="G20" s="5"/>
    </row>
    <row r="21" spans="1:7" x14ac:dyDescent="0.25">
      <c r="A21" s="5" t="s">
        <v>172</v>
      </c>
      <c r="B21" s="5"/>
      <c r="C21" s="5"/>
      <c r="D21" s="5"/>
      <c r="E21" s="5"/>
      <c r="F21" s="5"/>
      <c r="G21" s="5"/>
    </row>
    <row r="22" spans="1:7" x14ac:dyDescent="0.25">
      <c r="A22" s="5" t="s">
        <v>173</v>
      </c>
      <c r="B22" s="5"/>
      <c r="C22" s="5"/>
      <c r="D22" s="5"/>
      <c r="E22" s="5"/>
      <c r="F22" s="5"/>
      <c r="G22" s="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"/>
  <sheetViews>
    <sheetView workbookViewId="0">
      <selection activeCell="G20" sqref="G20"/>
    </sheetView>
  </sheetViews>
  <sheetFormatPr defaultRowHeight="15" x14ac:dyDescent="0.25"/>
  <cols>
    <col min="1" max="1" width="35" customWidth="1"/>
    <col min="2" max="7" width="18" customWidth="1"/>
  </cols>
  <sheetData>
    <row r="1" spans="1:7" ht="15.75" x14ac:dyDescent="0.25">
      <c r="A1" s="4" t="s">
        <v>174</v>
      </c>
      <c r="B1" s="4"/>
      <c r="C1" s="4"/>
      <c r="D1" s="4"/>
      <c r="E1" s="4"/>
      <c r="F1" s="4"/>
      <c r="G1" s="4"/>
    </row>
    <row r="2" spans="1:7" x14ac:dyDescent="0.25">
      <c r="A2" s="5" t="s">
        <v>175</v>
      </c>
      <c r="B2" s="5"/>
      <c r="C2" s="5"/>
      <c r="D2" s="5"/>
      <c r="E2" s="5"/>
      <c r="F2" s="5"/>
      <c r="G2" s="5"/>
    </row>
    <row r="3" spans="1:7" x14ac:dyDescent="0.25">
      <c r="A3" s="5"/>
      <c r="B3" s="5"/>
      <c r="C3" s="5"/>
      <c r="D3" s="5"/>
      <c r="E3" s="5"/>
      <c r="F3" s="5"/>
      <c r="G3" s="5"/>
    </row>
    <row r="4" spans="1:7" x14ac:dyDescent="0.25">
      <c r="A4" s="6" t="s">
        <v>176</v>
      </c>
      <c r="B4" s="6" t="s">
        <v>177</v>
      </c>
      <c r="C4" s="6" t="s">
        <v>178</v>
      </c>
      <c r="D4" s="6" t="s">
        <v>179</v>
      </c>
      <c r="E4" s="6" t="s">
        <v>180</v>
      </c>
      <c r="F4" s="6" t="s">
        <v>181</v>
      </c>
      <c r="G4" s="6" t="s">
        <v>88</v>
      </c>
    </row>
    <row r="5" spans="1:7" x14ac:dyDescent="0.25">
      <c r="A5" s="8" t="s">
        <v>182</v>
      </c>
      <c r="B5" s="8"/>
      <c r="C5" s="8"/>
      <c r="D5" s="8"/>
      <c r="E5" s="8"/>
      <c r="F5" s="8"/>
      <c r="G5" s="8"/>
    </row>
    <row r="6" spans="1:7" x14ac:dyDescent="0.25">
      <c r="A6" s="5" t="s">
        <v>183</v>
      </c>
      <c r="B6" s="5" t="s">
        <v>184</v>
      </c>
      <c r="C6" s="7">
        <v>480</v>
      </c>
      <c r="D6" s="7">
        <v>5</v>
      </c>
      <c r="E6" s="9">
        <f>C6*D6</f>
        <v>2400</v>
      </c>
      <c r="F6" s="5">
        <v>8.5999999999999993E-2</v>
      </c>
      <c r="G6" s="9">
        <f>E6*F6</f>
        <v>206.39999999999998</v>
      </c>
    </row>
    <row r="7" spans="1:7" x14ac:dyDescent="0.25">
      <c r="A7" s="5"/>
      <c r="B7" s="5"/>
      <c r="C7" s="5"/>
      <c r="D7" s="5"/>
      <c r="E7" s="5"/>
      <c r="F7" s="5"/>
      <c r="G7" s="5"/>
    </row>
    <row r="8" spans="1:7" x14ac:dyDescent="0.25">
      <c r="A8" s="8" t="s">
        <v>185</v>
      </c>
      <c r="B8" s="8"/>
      <c r="C8" s="8"/>
      <c r="D8" s="8"/>
      <c r="E8" s="8"/>
      <c r="F8" s="8"/>
      <c r="G8" s="8"/>
    </row>
    <row r="9" spans="1:7" x14ac:dyDescent="0.25">
      <c r="A9" s="5" t="s">
        <v>186</v>
      </c>
      <c r="B9" s="5" t="s">
        <v>184</v>
      </c>
      <c r="C9" s="7">
        <v>200</v>
      </c>
      <c r="D9" s="7">
        <v>3</v>
      </c>
      <c r="E9" s="9">
        <f>C9*D9</f>
        <v>600</v>
      </c>
      <c r="F9" s="5">
        <v>8.5999999999999993E-2</v>
      </c>
      <c r="G9" s="9">
        <f>E9*F9</f>
        <v>51.599999999999994</v>
      </c>
    </row>
    <row r="10" spans="1:7" x14ac:dyDescent="0.25">
      <c r="A10" s="5" t="s">
        <v>187</v>
      </c>
      <c r="B10" s="5" t="s">
        <v>184</v>
      </c>
      <c r="C10" s="7">
        <v>100</v>
      </c>
      <c r="D10" s="7">
        <v>1</v>
      </c>
      <c r="E10" s="9">
        <f>C10*D10</f>
        <v>100</v>
      </c>
      <c r="F10" s="5">
        <v>8.5999999999999993E-2</v>
      </c>
      <c r="G10" s="9">
        <f>E10*F10</f>
        <v>8.6</v>
      </c>
    </row>
    <row r="11" spans="1:7" x14ac:dyDescent="0.25">
      <c r="A11" s="5" t="s">
        <v>188</v>
      </c>
      <c r="B11" s="5" t="s">
        <v>184</v>
      </c>
      <c r="C11" s="7">
        <v>150</v>
      </c>
      <c r="D11" s="7">
        <v>2</v>
      </c>
      <c r="E11" s="9">
        <f>C11*D11</f>
        <v>300</v>
      </c>
      <c r="F11" s="5">
        <v>8.5999999999999993E-2</v>
      </c>
      <c r="G11" s="9">
        <f>E11*F11</f>
        <v>25.799999999999997</v>
      </c>
    </row>
    <row r="12" spans="1:7" x14ac:dyDescent="0.25">
      <c r="A12" s="5"/>
      <c r="B12" s="5"/>
      <c r="C12" s="5"/>
      <c r="D12" s="5"/>
      <c r="E12" s="5"/>
      <c r="F12" s="5"/>
      <c r="G12" s="5"/>
    </row>
    <row r="13" spans="1:7" x14ac:dyDescent="0.25">
      <c r="A13" s="6" t="s">
        <v>189</v>
      </c>
      <c r="B13" s="6"/>
      <c r="C13" s="6"/>
      <c r="D13" s="6"/>
      <c r="E13" s="6">
        <f>SUM(E6:E11)</f>
        <v>3400</v>
      </c>
      <c r="F13" s="6"/>
      <c r="G13" s="6">
        <f>SUM(G6:G11)</f>
        <v>292.40000000000003</v>
      </c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 t="s">
        <v>190</v>
      </c>
      <c r="B15" s="5"/>
      <c r="C15" s="5"/>
      <c r="D15" s="5"/>
      <c r="E15" s="5"/>
      <c r="F15" s="5"/>
      <c r="G15" s="5"/>
    </row>
    <row r="16" spans="1:7" x14ac:dyDescent="0.25">
      <c r="A16" s="5" t="s">
        <v>191</v>
      </c>
      <c r="B16" s="5"/>
      <c r="C16" s="5"/>
      <c r="D16" s="5"/>
      <c r="E16" s="5"/>
      <c r="F16" s="5"/>
      <c r="G16" s="5"/>
    </row>
    <row r="17" spans="1:7" x14ac:dyDescent="0.25">
      <c r="A17" s="5" t="s">
        <v>192</v>
      </c>
      <c r="B17" s="5"/>
      <c r="C17" s="5"/>
      <c r="D17" s="5"/>
      <c r="E17" s="5"/>
      <c r="F17" s="5"/>
      <c r="G17" s="5"/>
    </row>
    <row r="18" spans="1:7" x14ac:dyDescent="0.25">
      <c r="A18" t="s">
        <v>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9"/>
  <sheetViews>
    <sheetView tabSelected="1" workbookViewId="0">
      <selection activeCell="L26" sqref="L26"/>
    </sheetView>
  </sheetViews>
  <sheetFormatPr defaultRowHeight="15" x14ac:dyDescent="0.25"/>
  <cols>
    <col min="1" max="1" width="35" customWidth="1"/>
    <col min="2" max="5" width="22" customWidth="1"/>
  </cols>
  <sheetData>
    <row r="1" spans="1:5" ht="15.75" x14ac:dyDescent="0.25">
      <c r="A1" s="4" t="s">
        <v>194</v>
      </c>
      <c r="B1" s="4"/>
      <c r="C1" s="4"/>
      <c r="D1" s="4"/>
      <c r="E1" s="4"/>
    </row>
    <row r="2" spans="1:5" x14ac:dyDescent="0.25">
      <c r="A2" s="5" t="s">
        <v>195</v>
      </c>
      <c r="B2" s="5"/>
      <c r="C2" s="5"/>
      <c r="D2" s="5"/>
      <c r="E2" s="5"/>
    </row>
    <row r="3" spans="1:5" x14ac:dyDescent="0.25">
      <c r="A3" s="5"/>
      <c r="B3" s="5"/>
      <c r="C3" s="5"/>
      <c r="D3" s="5"/>
      <c r="E3" s="5"/>
    </row>
    <row r="4" spans="1:5" x14ac:dyDescent="0.25">
      <c r="A4" s="6" t="s">
        <v>196</v>
      </c>
      <c r="B4" s="6" t="s">
        <v>197</v>
      </c>
      <c r="C4" s="6" t="s">
        <v>198</v>
      </c>
      <c r="D4" s="6" t="s">
        <v>199</v>
      </c>
      <c r="E4" s="6" t="s">
        <v>200</v>
      </c>
    </row>
    <row r="5" spans="1:5" x14ac:dyDescent="0.25">
      <c r="A5" s="5"/>
      <c r="B5" s="5"/>
      <c r="C5" s="5"/>
      <c r="D5" s="5"/>
      <c r="E5" s="5"/>
    </row>
    <row r="6" spans="1:5" x14ac:dyDescent="0.25">
      <c r="A6" s="8" t="s">
        <v>201</v>
      </c>
      <c r="B6" s="8"/>
      <c r="C6" s="8"/>
      <c r="D6" s="8"/>
      <c r="E6" s="8"/>
    </row>
    <row r="7" spans="1:5" x14ac:dyDescent="0.25">
      <c r="A7" s="5" t="s">
        <v>202</v>
      </c>
      <c r="B7" s="9">
        <f>Zone1_Capture!G25</f>
        <v>14345</v>
      </c>
      <c r="C7" s="5">
        <v>10</v>
      </c>
      <c r="D7" s="9">
        <f>C7*52</f>
        <v>520</v>
      </c>
      <c r="E7" s="9">
        <f>B7/D7</f>
        <v>27.58653846153846</v>
      </c>
    </row>
    <row r="8" spans="1:5" x14ac:dyDescent="0.25">
      <c r="A8" s="5" t="s">
        <v>203</v>
      </c>
      <c r="B8" s="9">
        <f>Zone2_Processing!G18</f>
        <v>5793</v>
      </c>
      <c r="C8" s="5">
        <v>10</v>
      </c>
      <c r="D8" s="9">
        <f>C8*52</f>
        <v>520</v>
      </c>
      <c r="E8" s="9">
        <f>B8/D8</f>
        <v>11.140384615384615</v>
      </c>
    </row>
    <row r="9" spans="1:5" x14ac:dyDescent="0.25">
      <c r="A9" s="5" t="s">
        <v>204</v>
      </c>
      <c r="B9" s="9">
        <f>Zone3_Liquefaction!G18</f>
        <v>5019.5999999999995</v>
      </c>
      <c r="C9" s="5">
        <v>10</v>
      </c>
      <c r="D9" s="9">
        <f>C9*52</f>
        <v>520</v>
      </c>
      <c r="E9" s="9">
        <f>B9/D9</f>
        <v>9.653076923076922</v>
      </c>
    </row>
    <row r="10" spans="1:5" x14ac:dyDescent="0.25">
      <c r="A10" s="5" t="s">
        <v>205</v>
      </c>
      <c r="B10" s="9">
        <f>Transport!G13</f>
        <v>292.40000000000003</v>
      </c>
      <c r="C10" s="5">
        <v>10</v>
      </c>
      <c r="D10" s="9">
        <f>C10*52</f>
        <v>520</v>
      </c>
      <c r="E10" s="9">
        <f>B10/D10</f>
        <v>0.5623076923076924</v>
      </c>
    </row>
    <row r="11" spans="1:5" x14ac:dyDescent="0.25">
      <c r="A11" s="8" t="s">
        <v>206</v>
      </c>
      <c r="B11" s="10">
        <f>SUM(B7:B10)</f>
        <v>25450</v>
      </c>
      <c r="C11" s="8"/>
      <c r="D11" s="8"/>
      <c r="E11" s="10">
        <f>SUM(E7:E10)</f>
        <v>48.942307692307686</v>
      </c>
    </row>
    <row r="12" spans="1:5" x14ac:dyDescent="0.25">
      <c r="A12" s="5"/>
      <c r="B12" s="5"/>
      <c r="C12" s="5"/>
      <c r="D12" s="5"/>
      <c r="E12" s="5"/>
    </row>
    <row r="13" spans="1:5" x14ac:dyDescent="0.25">
      <c r="A13" s="8" t="s">
        <v>207</v>
      </c>
      <c r="B13" s="8"/>
      <c r="C13" s="8"/>
      <c r="D13" s="8"/>
      <c r="E13" s="8"/>
    </row>
    <row r="14" spans="1:5" x14ac:dyDescent="0.25">
      <c r="A14" s="5" t="s">
        <v>208</v>
      </c>
      <c r="B14" s="9">
        <f>Sorbent_System!G16</f>
        <v>988.80000000000007</v>
      </c>
      <c r="C14" s="5"/>
      <c r="D14" s="5"/>
      <c r="E14" s="5"/>
    </row>
    <row r="15" spans="1:5" x14ac:dyDescent="0.25">
      <c r="A15" s="5" t="s">
        <v>209</v>
      </c>
      <c r="B15" s="5"/>
      <c r="C15" s="9">
        <f>Sorbent_System!D6</f>
        <v>2</v>
      </c>
      <c r="D15" s="9">
        <f>C15*52</f>
        <v>104</v>
      </c>
      <c r="E15" s="9">
        <f>B14/D15</f>
        <v>9.5076923076923077</v>
      </c>
    </row>
    <row r="16" spans="1:5" x14ac:dyDescent="0.25">
      <c r="A16" s="5"/>
      <c r="B16" s="5"/>
      <c r="C16" s="5"/>
      <c r="D16" s="5"/>
      <c r="E16" s="5"/>
    </row>
    <row r="17" spans="1:5" x14ac:dyDescent="0.25">
      <c r="A17" s="6" t="s">
        <v>210</v>
      </c>
      <c r="B17" s="6"/>
      <c r="C17" s="6"/>
      <c r="D17" s="6"/>
      <c r="E17" s="6">
        <f>E11+E15</f>
        <v>58.449999999999996</v>
      </c>
    </row>
    <row r="18" spans="1:5" x14ac:dyDescent="0.25">
      <c r="A18" s="5"/>
      <c r="B18" s="5"/>
      <c r="C18" s="5"/>
      <c r="D18" s="5"/>
      <c r="E18" s="5"/>
    </row>
    <row r="19" spans="1:5" x14ac:dyDescent="0.25">
      <c r="A19" s="6" t="s">
        <v>211</v>
      </c>
      <c r="B19" s="6"/>
      <c r="C19" s="6"/>
      <c r="D19" s="6"/>
      <c r="E19" s="6"/>
    </row>
    <row r="20" spans="1:5" x14ac:dyDescent="0.25">
      <c r="A20" s="5"/>
      <c r="B20" s="5"/>
      <c r="C20" s="5"/>
      <c r="D20" s="5"/>
      <c r="E20" s="5"/>
    </row>
    <row r="21" spans="1:5" x14ac:dyDescent="0.25">
      <c r="A21" s="5" t="s">
        <v>30</v>
      </c>
      <c r="B21" s="5" t="s">
        <v>31</v>
      </c>
      <c r="C21" s="5" t="s">
        <v>32</v>
      </c>
      <c r="D21" s="5"/>
      <c r="E21" s="5"/>
    </row>
    <row r="22" spans="1:5" x14ac:dyDescent="0.25">
      <c r="A22" s="5" t="s">
        <v>41</v>
      </c>
      <c r="B22" s="9">
        <f>Parameters!B7</f>
        <v>10</v>
      </c>
      <c r="C22" s="5" t="s">
        <v>42</v>
      </c>
      <c r="D22" s="5"/>
      <c r="E22" s="5"/>
    </row>
    <row r="23" spans="1:5" x14ac:dyDescent="0.25">
      <c r="A23" s="5" t="s">
        <v>45</v>
      </c>
      <c r="B23" s="9">
        <f>Parameters!B8</f>
        <v>520</v>
      </c>
      <c r="C23" s="5" t="s">
        <v>46</v>
      </c>
      <c r="D23" s="5"/>
      <c r="E23" s="5"/>
    </row>
    <row r="24" spans="1:5" x14ac:dyDescent="0.25">
      <c r="A24" s="5" t="s">
        <v>212</v>
      </c>
      <c r="B24" s="9">
        <f>Parameters!B13</f>
        <v>4.9000000000000002E-2</v>
      </c>
      <c r="C24" s="5" t="s">
        <v>52</v>
      </c>
      <c r="D24" s="5"/>
      <c r="E24" s="5"/>
    </row>
    <row r="25" spans="1:5" x14ac:dyDescent="0.25">
      <c r="A25" s="5" t="s">
        <v>213</v>
      </c>
      <c r="B25" s="9">
        <f>E11</f>
        <v>48.942307692307686</v>
      </c>
      <c r="C25" s="5" t="s">
        <v>214</v>
      </c>
      <c r="D25" s="5"/>
      <c r="E25" s="5"/>
    </row>
    <row r="26" spans="1:5" x14ac:dyDescent="0.25">
      <c r="A26" s="5" t="s">
        <v>215</v>
      </c>
      <c r="B26" s="9">
        <f>E15</f>
        <v>9.5076923076923077</v>
      </c>
      <c r="C26" s="5" t="s">
        <v>214</v>
      </c>
      <c r="D26" s="5"/>
      <c r="E26" s="5"/>
    </row>
    <row r="27" spans="1:5" x14ac:dyDescent="0.25">
      <c r="A27" s="8" t="s">
        <v>216</v>
      </c>
      <c r="B27" s="10">
        <f>E17</f>
        <v>58.449999999999996</v>
      </c>
      <c r="C27" s="8" t="s">
        <v>214</v>
      </c>
      <c r="D27" s="8"/>
      <c r="E27" s="10"/>
    </row>
    <row r="28" spans="1:5" x14ac:dyDescent="0.25">
      <c r="A28" s="5"/>
      <c r="B28" s="5"/>
      <c r="C28" s="5"/>
      <c r="D28" s="5"/>
      <c r="E28" s="5"/>
    </row>
    <row r="29" spans="1:5" x14ac:dyDescent="0.25">
      <c r="A29" s="5" t="s">
        <v>217</v>
      </c>
      <c r="B29" s="5"/>
      <c r="C29" s="5"/>
      <c r="D29" s="5"/>
      <c r="E2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Parameters</vt:lpstr>
      <vt:lpstr>Zone1_Capture</vt:lpstr>
      <vt:lpstr>Zone2_Processing</vt:lpstr>
      <vt:lpstr>Zone3_Liquefaction</vt:lpstr>
      <vt:lpstr>Sorbent_System</vt:lpstr>
      <vt:lpstr>Transport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Njenga</cp:lastModifiedBy>
  <dcterms:created xsi:type="dcterms:W3CDTF">2026-01-22T07:55:10Z</dcterms:created>
  <dcterms:modified xsi:type="dcterms:W3CDTF">2026-01-23T11:11:46Z</dcterms:modified>
</cp:coreProperties>
</file>